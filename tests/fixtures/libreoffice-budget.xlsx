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<sst xmlns="http://schemas.openxmlformats.org/spreadsheetml/2006/main" count="14" uniqueCount="14">
  <si>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Household budget</t>
  </si>
  <si>
    <t xml:space="preserve">Item</t>
  </si>
  <si>
    <t xml:space="preserve">Date</t>
  </si>
  <si>
    <t xml:space="preserve">Planned</t>
  </si>
  <si>
    <t xml:space="preserve">Actual</t>
  </si>
  <si>
    <t xml:space="preserve">Diff %</t>
  </si>
  <si>
    <t xml:space="preserve">Rent</t>
  </si>
  <si>
    <t xml:space="preserve">Groceries</t>
  </si>
  <si>
    <t xml:space="preserve">Utilities</t>
  </si>
  <si>
    <t xml:space="preserve">Fun</t>
  </si>
  <si>
    <t xml:space="preserve">Total</t>
  </si>
  <si>
    <t xml:space="preserve">Over budget items</t>
  </si>
  <si>
    <t xml:space="preserve">Largest actual</t>
  </si>
  <si>
    <t xml:space="preserve">Biggest item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</si>
</sst>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[$$]#,##0.00"/>
    <numFmt numFmtId="167" formatCode="0.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5" min="2" style="0" width="12.9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2.8" hidden="false" customHeight="false" outlineLevel="0" collapsed="false">
      <c r="A3" s="0" t="s">
        <v>6</v>
      </c>
      <c r="B3" s="3" t="n">
        <v>45292</v>
      </c>
      <c r="C3" s="4" t="n">
        <v>1500</v>
      </c>
      <c r="D3" s="4" t="n">
        <v>1500</v>
      </c>
      <c r="E3" s="5" t="n">
        <f aca="false">(D3-C3)/C3</f>
        <v>0</v>
      </c>
    </row>
    <row r="4" customFormat="false" ht="12.8" hidden="false" customHeight="false" outlineLevel="0" collapsed="false">
      <c r="A4" s="0" t="s">
        <v>7</v>
      </c>
      <c r="B4" s="3" t="n">
        <v>45296</v>
      </c>
      <c r="C4" s="4" t="n">
        <v>400</v>
      </c>
      <c r="D4" s="4" t="n">
        <v>452.3</v>
      </c>
      <c r="E4" s="5" t="n">
        <f aca="false">(D4-C4)/C4</f>
        <v>0.13075</v>
      </c>
    </row>
    <row r="5" customFormat="false" ht="12.8" hidden="false" customHeight="false" outlineLevel="0" collapsed="false">
      <c r="A5" s="0" t="s">
        <v>8</v>
      </c>
      <c r="B5" s="3" t="n">
        <v>45301</v>
      </c>
      <c r="C5" s="4" t="n">
        <v>200</v>
      </c>
      <c r="D5" s="4" t="n">
        <v>180</v>
      </c>
      <c r="E5" s="5" t="n">
        <f aca="false">(D5-C5)/C5</f>
        <v>-0.1</v>
      </c>
    </row>
    <row r="6" customFormat="false" ht="12.8" hidden="false" customHeight="false" outlineLevel="0" collapsed="false">
      <c r="A6" s="0" t="s">
        <v>9</v>
      </c>
      <c r="B6" s="3" t="n">
        <v>45311</v>
      </c>
      <c r="C6" s="4" t="n">
        <v>150</v>
      </c>
      <c r="D6" s="4" t="n">
        <v>210</v>
      </c>
      <c r="E6" s="5" t="n">
        <f aca="false">(D6-C6)/C6</f>
        <v>0.4</v>
      </c>
    </row>
    <row r="7" customFormat="false" ht="12.8" hidden="false" customHeight="false" outlineLevel="0" collapsed="false">
      <c r="A7" s="0" t="s">
        <v>10</v>
      </c>
      <c r="C7" s="6" t="n">
        <f aca="false">SUM(C3:C6)</f>
        <v>2250</v>
      </c>
      <c r="D7" s="6" t="n">
        <f aca="false">SUM(D3:D6)</f>
        <v>2342.3</v>
      </c>
      <c r="E7" s="5" t="n">
        <f aca="false">(D7-C7)/C7</f>
        <v>0.0410222222222222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2" min="2" style="0" width="12.97"/>
  </cols>
  <sheetData>
    <row r="1" customFormat="false" ht="12.8" hidden="false" customHeight="false" outlineLevel="0" collapsed="false">
      <c r="A1" s="0" t="s">
        <v>11</v>
      </c>
      <c r="B1" s="0" t="n">
        <f aca="false">COUNTIF(Budget!E3:E6,"&gt;0")</f>
        <v>2</v>
      </c>
    </row>
    <row r="2" customFormat="false" ht="12.8" hidden="false" customHeight="false" outlineLevel="0" collapsed="false">
      <c r="A2" s="0" t="s">
        <v>12</v>
      </c>
      <c r="B2" s="4" t="n">
        <f aca="false">MAX(Budget!D3:D6)</f>
        <v>1500</v>
      </c>
    </row>
    <row r="3" customFormat="false" ht="12.8" hidden="false" customHeight="false" outlineLevel="0" collapsed="false">
      <c r="A3" s="0" t="s">
        <v>13</v>
      </c>
      <c r="B3" s="0" t="str">
        <f aca="false">INDEX(Budget!A3:A6,MATCH(B2,Budget!D3:D6,0))</f>
        <v>Rent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